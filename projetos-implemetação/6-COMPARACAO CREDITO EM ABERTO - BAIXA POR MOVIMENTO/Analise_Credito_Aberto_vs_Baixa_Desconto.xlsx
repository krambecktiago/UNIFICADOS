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Detalhe Baixa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<sst xmlns="http://schemas.openxmlformats.org/spreadsheetml/2006/main" count="263" uniqueCount="160">
  <si>
    <t xml:space="preserve">ANÁLISE: CRÉDITOS EM ABERTO BAIXADOS VIA 'DESCONTO EM DPL' (2024)</t>
  </si>
  <si>
    <t xml:space="preserve">Fornecedores que possuem crédito em aberto E tiveram duplicatas baixadas com Tipo Movto ≠ 'Créditos c/Fornecedor'</t>
  </si>
  <si>
    <t xml:space="preserve">Cód.</t>
  </si>
  <si>
    <t xml:space="preserve">Fornecedor</t>
  </si>
  <si>
    <t xml:space="preserve">Saldo em Aberto (R$)</t>
  </si>
  <si>
    <t xml:space="preserve">Qtd Baixas
'Desconto Dpl'</t>
  </si>
  <si>
    <t xml:space="preserve">Total Baixado
'Desconto Dpl' (R$)</t>
  </si>
  <si>
    <t xml:space="preserve">Situação</t>
  </si>
  <si>
    <t xml:space="preserve">Observação</t>
  </si>
  <si>
    <t xml:space="preserve">EVC INDUSTRIAL LTDA</t>
  </si>
  <si>
    <t xml:space="preserve">⚠️ RELEVANTE</t>
  </si>
  <si>
    <t xml:space="preserve">Crédito em aberto R$1.285 | Desconto aplicado R$32.173</t>
  </si>
  <si>
    <t xml:space="preserve">REDE ANCORA ES IMP. EXP. E DISTR SA</t>
  </si>
  <si>
    <t xml:space="preserve">ℹ️ Verificar</t>
  </si>
  <si>
    <t xml:space="preserve">Saldo em aberto elevado (R$32.486)</t>
  </si>
  <si>
    <t xml:space="preserve">REDE ANCORA SC IMP. EXP. DISTRIB AUTOPECAS SA</t>
  </si>
  <si>
    <t xml:space="preserve">32 ocorrências de Desconto Dpl</t>
  </si>
  <si>
    <t xml:space="preserve">ROBERLO DO BRASIL IND COM DIS PROD QUIMICOS</t>
  </si>
  <si>
    <t xml:space="preserve">Baixa parcial (R$350 de dpl R$2.335)</t>
  </si>
  <si>
    <t xml:space="preserve">SCHERER SA COMERCIO DE AUTOPECAS</t>
  </si>
  <si>
    <t xml:space="preserve">✅ Irrelevante</t>
  </si>
  <si>
    <t xml:space="preserve">Valores centavos (R$0,03) — arredondamento</t>
  </si>
  <si>
    <t xml:space="preserve">YM DISTRIBUIDORA DE AUTO PECAS EIRELI</t>
  </si>
  <si>
    <t xml:space="preserve">4 parcelas via desconto</t>
  </si>
  <si>
    <t xml:space="preserve">TOTAL</t>
  </si>
  <si>
    <t xml:space="preserve">Legenda:   ⚠️ RELEVANTE = diferença material que merece conciliação   |   ℹ️ Verificar = valor a confirmar   |   ✅ Irrelevante = centavos de arredondamento</t>
  </si>
  <si>
    <t xml:space="preserve">DETALHE DAS DUPLICATAS BAIXADAS VIA 'DESCONTO EM DPL' — FORNECEDORES COM CRÉDITO EM ABERTO</t>
  </si>
  <si>
    <t xml:space="preserve">Duplicata</t>
  </si>
  <si>
    <t xml:space="preserve">Emissão</t>
  </si>
  <si>
    <t xml:space="preserve">Vencimento</t>
  </si>
  <si>
    <t xml:space="preserve">Pagamento</t>
  </si>
  <si>
    <t xml:space="preserve">Vlr Duplicata (R$)</t>
  </si>
  <si>
    <t xml:space="preserve">Vlr Movimento (R$)</t>
  </si>
  <si>
    <t xml:space="preserve">Diferença (R$)</t>
  </si>
  <si>
    <t xml:space="preserve">82901.1</t>
  </si>
  <si>
    <t xml:space="preserve">29/04/2024</t>
  </si>
  <si>
    <t xml:space="preserve">02/05/2024</t>
  </si>
  <si>
    <t xml:space="preserve">14/05/2024</t>
  </si>
  <si>
    <t xml:space="preserve">93761.2</t>
  </si>
  <si>
    <t xml:space="preserve">30/07/2024</t>
  </si>
  <si>
    <t xml:space="preserve">16/08/2024</t>
  </si>
  <si>
    <t xml:space="preserve">REDE ANCORA ES</t>
  </si>
  <si>
    <t xml:space="preserve">692878.1</t>
  </si>
  <si>
    <t xml:space="preserve">27/01/2024</t>
  </si>
  <si>
    <t xml:space="preserve">31/01/2024</t>
  </si>
  <si>
    <t xml:space="preserve">14/02/2024</t>
  </si>
  <si>
    <t xml:space="preserve">Baixa parcial</t>
  </si>
  <si>
    <t xml:space="preserve">703384.1</t>
  </si>
  <si>
    <t xml:space="preserve">27/02/2024</t>
  </si>
  <si>
    <t xml:space="preserve">28/03/2024</t>
  </si>
  <si>
    <t xml:space="preserve">30/04/2024</t>
  </si>
  <si>
    <t xml:space="preserve">REDE ANCORA SC</t>
  </si>
  <si>
    <t xml:space="preserve">460593.4</t>
  </si>
  <si>
    <t xml:space="preserve">05/12/2023</t>
  </si>
  <si>
    <t xml:space="preserve">03/04/2024</t>
  </si>
  <si>
    <t xml:space="preserve">26/03/2024</t>
  </si>
  <si>
    <t xml:space="preserve">470160.3</t>
  </si>
  <si>
    <t xml:space="preserve">25/01/2024</t>
  </si>
  <si>
    <t xml:space="preserve">26/04/2024</t>
  </si>
  <si>
    <t xml:space="preserve">23/04/2024</t>
  </si>
  <si>
    <t xml:space="preserve">471309.3</t>
  </si>
  <si>
    <t xml:space="preserve">06/03/2024</t>
  </si>
  <si>
    <t xml:space="preserve">04/03/2024</t>
  </si>
  <si>
    <t xml:space="preserve">471697.3</t>
  </si>
  <si>
    <t xml:space="preserve">01/02/2024</t>
  </si>
  <si>
    <t xml:space="preserve">03/05/2024</t>
  </si>
  <si>
    <t xml:space="preserve">481577.3</t>
  </si>
  <si>
    <t xml:space="preserve">01/05/2024</t>
  </si>
  <si>
    <t xml:space="preserve">528096.1</t>
  </si>
  <si>
    <t xml:space="preserve">03/12/2024</t>
  </si>
  <si>
    <t xml:space="preserve">11/12/2024</t>
  </si>
  <si>
    <t xml:space="preserve">528401.1</t>
  </si>
  <si>
    <t xml:space="preserve">04/12/2024</t>
  </si>
  <si>
    <t xml:space="preserve">AG-458971</t>
  </si>
  <si>
    <t xml:space="preserve">12/03/2024</t>
  </si>
  <si>
    <t xml:space="preserve">16/03/2024</t>
  </si>
  <si>
    <t xml:space="preserve">AG-481247</t>
  </si>
  <si>
    <t xml:space="preserve">24/06/2024</t>
  </si>
  <si>
    <t xml:space="preserve">28/06/2024</t>
  </si>
  <si>
    <t xml:space="preserve">AGL-196855</t>
  </si>
  <si>
    <t xml:space="preserve">28/02/2024</t>
  </si>
  <si>
    <t xml:space="preserve">AGL-199457</t>
  </si>
  <si>
    <t xml:space="preserve">11/03/2024</t>
  </si>
  <si>
    <t xml:space="preserve">AGL-208155</t>
  </si>
  <si>
    <t xml:space="preserve">08/04/2024</t>
  </si>
  <si>
    <t xml:space="preserve">AGL-222537</t>
  </si>
  <si>
    <t xml:space="preserve">06/05/2024</t>
  </si>
  <si>
    <t xml:space="preserve">AGL-234327</t>
  </si>
  <si>
    <t xml:space="preserve">04/06/2024</t>
  </si>
  <si>
    <t xml:space="preserve">10/06/2024</t>
  </si>
  <si>
    <t xml:space="preserve">AGL-235537</t>
  </si>
  <si>
    <t xml:space="preserve">17/06/2024</t>
  </si>
  <si>
    <t xml:space="preserve">AGL-246494</t>
  </si>
  <si>
    <t xml:space="preserve">08/07/2024</t>
  </si>
  <si>
    <t xml:space="preserve">15/07/2024</t>
  </si>
  <si>
    <t xml:space="preserve">AGL-254113</t>
  </si>
  <si>
    <t xml:space="preserve">23/07/2024</t>
  </si>
  <si>
    <t xml:space="preserve">24/07/2024</t>
  </si>
  <si>
    <t xml:space="preserve">AGL.187223</t>
  </si>
  <si>
    <t xml:space="preserve">20/02/2024</t>
  </si>
  <si>
    <t xml:space="preserve">21/02/2024</t>
  </si>
  <si>
    <t xml:space="preserve">AGL.191787</t>
  </si>
  <si>
    <t xml:space="preserve">AGL.264790</t>
  </si>
  <si>
    <t xml:space="preserve">27/09/2024</t>
  </si>
  <si>
    <t xml:space="preserve">30/09/2024</t>
  </si>
  <si>
    <t xml:space="preserve">AGL172816</t>
  </si>
  <si>
    <t xml:space="preserve">22/01/2024</t>
  </si>
  <si>
    <t xml:space="preserve">24/01/2024</t>
  </si>
  <si>
    <t xml:space="preserve">AGL178395</t>
  </si>
  <si>
    <t xml:space="preserve">05/02/2024</t>
  </si>
  <si>
    <t xml:space="preserve">07/02/2024</t>
  </si>
  <si>
    <t xml:space="preserve">AGL196855</t>
  </si>
  <si>
    <t xml:space="preserve">AGL199457</t>
  </si>
  <si>
    <t xml:space="preserve">09/04/2024</t>
  </si>
  <si>
    <t xml:space="preserve">10/04/2024</t>
  </si>
  <si>
    <t xml:space="preserve">AGL208155</t>
  </si>
  <si>
    <t xml:space="preserve">07/05/2024</t>
  </si>
  <si>
    <t xml:space="preserve">08/05/2024</t>
  </si>
  <si>
    <t xml:space="preserve">AGL222537</t>
  </si>
  <si>
    <t xml:space="preserve">05/06/2024</t>
  </si>
  <si>
    <t xml:space="preserve">AGL234327</t>
  </si>
  <si>
    <t xml:space="preserve">09/07/2024</t>
  </si>
  <si>
    <t xml:space="preserve">10/07/2024</t>
  </si>
  <si>
    <t xml:space="preserve">AGL235537</t>
  </si>
  <si>
    <t xml:space="preserve">11/07/2024</t>
  </si>
  <si>
    <t xml:space="preserve">17/07/2024</t>
  </si>
  <si>
    <t xml:space="preserve">AGL246494</t>
  </si>
  <si>
    <t xml:space="preserve">13/08/2024</t>
  </si>
  <si>
    <t xml:space="preserve">14/08/2024</t>
  </si>
  <si>
    <t xml:space="preserve">AGL504087</t>
  </si>
  <si>
    <t xml:space="preserve">06/08/2024</t>
  </si>
  <si>
    <t xml:space="preserve">07/08/2024</t>
  </si>
  <si>
    <t xml:space="preserve">AGL509818</t>
  </si>
  <si>
    <t xml:space="preserve">03/09/2024</t>
  </si>
  <si>
    <t xml:space="preserve">04/09/2024</t>
  </si>
  <si>
    <t xml:space="preserve">AGL530503</t>
  </si>
  <si>
    <t xml:space="preserve">18/12/2024</t>
  </si>
  <si>
    <t xml:space="preserve">ROBERLO DO BRASIL</t>
  </si>
  <si>
    <t xml:space="preserve">70534.3</t>
  </si>
  <si>
    <t xml:space="preserve">15/12/2023</t>
  </si>
  <si>
    <t xml:space="preserve">14/03/2024</t>
  </si>
  <si>
    <t xml:space="preserve">13/03/2024</t>
  </si>
  <si>
    <t xml:space="preserve">SCHERER SA AUTOPECAS</t>
  </si>
  <si>
    <t xml:space="preserve">1047371.3</t>
  </si>
  <si>
    <t xml:space="preserve">29/03/2024</t>
  </si>
  <si>
    <t xml:space="preserve">Arredondamento</t>
  </si>
  <si>
    <t xml:space="preserve">1085707.2</t>
  </si>
  <si>
    <t xml:space="preserve">25/06/2024</t>
  </si>
  <si>
    <t xml:space="preserve">29/07/2024</t>
  </si>
  <si>
    <t xml:space="preserve">YM DISTRIBUIDORA AUTOPECAS</t>
  </si>
  <si>
    <t xml:space="preserve">45730.1</t>
  </si>
  <si>
    <t xml:space="preserve">17/01/2024</t>
  </si>
  <si>
    <t xml:space="preserve">Parcela 1/3</t>
  </si>
  <si>
    <t xml:space="preserve">45730.2</t>
  </si>
  <si>
    <t xml:space="preserve">16/02/2024</t>
  </si>
  <si>
    <t xml:space="preserve">13/02/2024</t>
  </si>
  <si>
    <t xml:space="preserve">Parcela 2/3</t>
  </si>
  <si>
    <t xml:space="preserve">45730.3</t>
  </si>
  <si>
    <t xml:space="preserve">02/03/2024</t>
  </si>
  <si>
    <t xml:space="preserve">Parcela 3/3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</si>
</sst>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R$ &quot;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AE3F3"/>
        <bgColor rgb="FFD9E1F2"/>
      </patternFill>
    </fill>
    <fill>
      <patternFill patternType="solid">
        <fgColor rgb="FFFFFFFF"/>
        <bgColor rgb="FFF2F7FF"/>
      </patternFill>
    </fill>
    <fill>
      <patternFill patternType="solid">
        <fgColor rgb="FFFFE699"/>
        <bgColor rgb="FFFFCC99"/>
      </patternFill>
    </fill>
    <fill>
      <patternFill patternType="solid">
        <fgColor rgb="FFF2F7FF"/>
        <bgColor rgb="FFFFFFFF"/>
      </patternFill>
    </fill>
    <fill>
      <patternFill patternType="solid">
        <fgColor rgb="FFDDEBF7"/>
        <bgColor rgb="FFDAE3F3"/>
      </patternFill>
    </fill>
    <fill>
      <patternFill patternType="solid">
        <fgColor rgb="FFE2EFDA"/>
        <bgColor rgb="FFDDEBF7"/>
      </patternFill>
    </fill>
    <fill>
      <patternFill patternType="solid">
        <fgColor rgb="FFD9E1F2"/>
        <bgColor rgb="FFDAE3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7FF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AE3F3"/>
      <rgbColor rgb="FFE2EFDA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4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5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7.5" hidden="false" customHeight="true" outlineLevel="0" collapsed="false"/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8" hidden="false" customHeight="true" outlineLevel="0" collapsed="false">
      <c r="A5" s="4" t="n">
        <v>29471</v>
      </c>
      <c r="B5" s="5" t="s">
        <v>9</v>
      </c>
      <c r="C5" s="6" t="n">
        <v>1285.67</v>
      </c>
      <c r="D5" s="4" t="n">
        <v>2</v>
      </c>
      <c r="E5" s="6" t="n">
        <v>32173.47</v>
      </c>
      <c r="F5" s="7" t="s">
        <v>10</v>
      </c>
      <c r="G5" s="5" t="s">
        <v>11</v>
      </c>
    </row>
    <row r="6" customFormat="false" ht="18" hidden="false" customHeight="true" outlineLevel="0" collapsed="false">
      <c r="A6" s="8" t="n">
        <v>115645</v>
      </c>
      <c r="B6" s="9" t="s">
        <v>12</v>
      </c>
      <c r="C6" s="10" t="n">
        <v>32485.98</v>
      </c>
      <c r="D6" s="8" t="n">
        <v>2</v>
      </c>
      <c r="E6" s="10" t="n">
        <v>399.46</v>
      </c>
      <c r="F6" s="11" t="s">
        <v>13</v>
      </c>
      <c r="G6" s="9" t="s">
        <v>14</v>
      </c>
    </row>
    <row r="7" customFormat="false" ht="18" hidden="false" customHeight="true" outlineLevel="0" collapsed="false">
      <c r="A7" s="4" t="n">
        <v>7985</v>
      </c>
      <c r="B7" s="5" t="s">
        <v>15</v>
      </c>
      <c r="C7" s="6" t="n">
        <v>2493.77</v>
      </c>
      <c r="D7" s="4" t="n">
        <v>32</v>
      </c>
      <c r="E7" s="6" t="n">
        <v>19584.46</v>
      </c>
      <c r="F7" s="7" t="s">
        <v>10</v>
      </c>
      <c r="G7" s="5" t="s">
        <v>16</v>
      </c>
    </row>
    <row r="8" customFormat="false" ht="18" hidden="false" customHeight="true" outlineLevel="0" collapsed="false">
      <c r="A8" s="8" t="n">
        <v>24364</v>
      </c>
      <c r="B8" s="9" t="s">
        <v>17</v>
      </c>
      <c r="C8" s="10" t="n">
        <v>753.15</v>
      </c>
      <c r="D8" s="8" t="n">
        <v>1</v>
      </c>
      <c r="E8" s="10" t="n">
        <v>350.5</v>
      </c>
      <c r="F8" s="11" t="s">
        <v>13</v>
      </c>
      <c r="G8" s="9" t="s">
        <v>18</v>
      </c>
    </row>
    <row r="9" customFormat="false" ht="18" hidden="false" customHeight="true" outlineLevel="0" collapsed="false">
      <c r="A9" s="4" t="n">
        <v>3655</v>
      </c>
      <c r="B9" s="5" t="s">
        <v>19</v>
      </c>
      <c r="C9" s="6" t="n">
        <v>772.4</v>
      </c>
      <c r="D9" s="4" t="n">
        <v>2</v>
      </c>
      <c r="E9" s="6" t="n">
        <v>0.03</v>
      </c>
      <c r="F9" s="12" t="s">
        <v>20</v>
      </c>
      <c r="G9" s="5" t="s">
        <v>21</v>
      </c>
    </row>
    <row r="10" customFormat="false" ht="18" hidden="false" customHeight="true" outlineLevel="0" collapsed="false">
      <c r="A10" s="8" t="n">
        <v>38115</v>
      </c>
      <c r="B10" s="9" t="s">
        <v>22</v>
      </c>
      <c r="C10" s="10" t="n">
        <v>2204.4</v>
      </c>
      <c r="D10" s="8" t="n">
        <v>4</v>
      </c>
      <c r="E10" s="10" t="n">
        <v>583.38</v>
      </c>
      <c r="F10" s="11" t="s">
        <v>13</v>
      </c>
      <c r="G10" s="9" t="s">
        <v>23</v>
      </c>
    </row>
    <row r="12" customFormat="false" ht="19.5" hidden="false" customHeight="true" outlineLevel="0" collapsed="false">
      <c r="A12" s="13" t="s">
        <v>24</v>
      </c>
      <c r="B12" s="13"/>
      <c r="C12" s="14" t="n">
        <f aca="false">SUM(C5:C10)</f>
        <v>39995.37</v>
      </c>
      <c r="D12" s="15"/>
      <c r="E12" s="14" t="n">
        <f aca="false">SUM(E5:E10)</f>
        <v>53091.3</v>
      </c>
      <c r="F12" s="15"/>
      <c r="G12" s="15"/>
    </row>
    <row r="14" customFormat="false" ht="15" hidden="false" customHeight="false" outlineLevel="0" collapsed="false">
      <c r="A14" s="16" t="s">
        <v>25</v>
      </c>
      <c r="B14" s="16"/>
      <c r="C14" s="16"/>
      <c r="D14" s="16"/>
      <c r="E14" s="16"/>
      <c r="F14" s="16"/>
      <c r="G14" s="16"/>
    </row>
  </sheetData>
  <mergeCells count="4">
    <mergeCell ref="A1:G1"/>
    <mergeCell ref="A2:G2"/>
    <mergeCell ref="A12:B12"/>
    <mergeCell ref="A14:G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5" min="3" style="0" width="12"/>
    <col collapsed="false" customWidth="true" hidden="false" outlineLevel="0" max="7" min="6" style="0" width="20"/>
    <col collapsed="false" customWidth="true" hidden="false" outlineLevel="0" max="8" min="8" style="0" width="18"/>
    <col collapsed="false" customWidth="true" hidden="false" outlineLevel="0" max="9" min="9" style="0" width="22"/>
  </cols>
  <sheetData>
    <row r="1" customFormat="false" ht="25.5" hidden="false" customHeight="true" outlineLevel="0" collapsed="false">
      <c r="A1" s="17" t="s">
        <v>26</v>
      </c>
      <c r="B1" s="17"/>
      <c r="C1" s="17"/>
      <c r="D1" s="17"/>
      <c r="E1" s="17"/>
      <c r="F1" s="17"/>
      <c r="G1" s="17"/>
      <c r="H1" s="17"/>
      <c r="I1" s="17"/>
    </row>
    <row r="2" customFormat="false" ht="7.5" hidden="false" customHeight="true" outlineLevel="0" collapsed="false"/>
    <row r="3" customFormat="false" ht="27.75" hidden="false" customHeight="true" outlineLevel="0" collapsed="false">
      <c r="A3" s="3" t="s">
        <v>3</v>
      </c>
      <c r="B3" s="3" t="s">
        <v>27</v>
      </c>
      <c r="C3" s="3" t="s">
        <v>28</v>
      </c>
      <c r="D3" s="3" t="s">
        <v>29</v>
      </c>
      <c r="E3" s="3" t="s">
        <v>30</v>
      </c>
      <c r="F3" s="3" t="s">
        <v>31</v>
      </c>
      <c r="G3" s="3" t="s">
        <v>32</v>
      </c>
      <c r="H3" s="3" t="s">
        <v>33</v>
      </c>
      <c r="I3" s="3" t="s">
        <v>8</v>
      </c>
    </row>
    <row r="4" customFormat="false" ht="15.75" hidden="false" customHeight="true" outlineLevel="0" collapsed="false">
      <c r="A4" s="9" t="s">
        <v>9</v>
      </c>
      <c r="B4" s="8" t="s">
        <v>34</v>
      </c>
      <c r="C4" s="8" t="s">
        <v>35</v>
      </c>
      <c r="D4" s="8" t="s">
        <v>36</v>
      </c>
      <c r="E4" s="8" t="s">
        <v>37</v>
      </c>
      <c r="F4" s="10" t="n">
        <v>32001.01</v>
      </c>
      <c r="G4" s="10" t="n">
        <v>32001.01</v>
      </c>
      <c r="H4" s="18" t="n">
        <f aca="false">F4-G4</f>
        <v>0</v>
      </c>
      <c r="I4" s="9"/>
    </row>
    <row r="5" customFormat="false" ht="15.75" hidden="false" customHeight="true" outlineLevel="0" collapsed="false">
      <c r="A5" s="5" t="s">
        <v>9</v>
      </c>
      <c r="B5" s="4" t="s">
        <v>38</v>
      </c>
      <c r="C5" s="4" t="s">
        <v>39</v>
      </c>
      <c r="D5" s="4" t="s">
        <v>40</v>
      </c>
      <c r="E5" s="4" t="s">
        <v>40</v>
      </c>
      <c r="F5" s="6" t="n">
        <v>172.46</v>
      </c>
      <c r="G5" s="6" t="n">
        <v>172.46</v>
      </c>
      <c r="H5" s="19" t="n">
        <f aca="false">F5-G5</f>
        <v>0</v>
      </c>
      <c r="I5" s="5"/>
    </row>
    <row r="6" customFormat="false" ht="15.75" hidden="false" customHeight="true" outlineLevel="0" collapsed="false">
      <c r="A6" s="9" t="s">
        <v>41</v>
      </c>
      <c r="B6" s="8" t="s">
        <v>42</v>
      </c>
      <c r="C6" s="8" t="s">
        <v>43</v>
      </c>
      <c r="D6" s="8" t="s">
        <v>44</v>
      </c>
      <c r="E6" s="8" t="s">
        <v>45</v>
      </c>
      <c r="F6" s="10" t="n">
        <v>693.48</v>
      </c>
      <c r="G6" s="10" t="n">
        <v>360.85</v>
      </c>
      <c r="H6" s="18" t="n">
        <f aca="false">F6-G6</f>
        <v>332.63</v>
      </c>
      <c r="I6" s="9" t="s">
        <v>46</v>
      </c>
    </row>
    <row r="7" customFormat="false" ht="15.75" hidden="false" customHeight="true" outlineLevel="0" collapsed="false">
      <c r="A7" s="5" t="s">
        <v>41</v>
      </c>
      <c r="B7" s="4" t="s">
        <v>47</v>
      </c>
      <c r="C7" s="4" t="s">
        <v>48</v>
      </c>
      <c r="D7" s="4" t="s">
        <v>49</v>
      </c>
      <c r="E7" s="4" t="s">
        <v>50</v>
      </c>
      <c r="F7" s="6" t="n">
        <v>38.61</v>
      </c>
      <c r="G7" s="6" t="n">
        <v>38.61</v>
      </c>
      <c r="H7" s="19" t="n">
        <f aca="false">F7-G7</f>
        <v>0</v>
      </c>
      <c r="I7" s="5"/>
    </row>
    <row r="8" customFormat="false" ht="15.75" hidden="false" customHeight="true" outlineLevel="0" collapsed="false">
      <c r="A8" s="9" t="s">
        <v>51</v>
      </c>
      <c r="B8" s="8" t="s">
        <v>52</v>
      </c>
      <c r="C8" s="8" t="s">
        <v>53</v>
      </c>
      <c r="D8" s="8" t="s">
        <v>54</v>
      </c>
      <c r="E8" s="8" t="s">
        <v>55</v>
      </c>
      <c r="F8" s="10" t="n">
        <v>69.19</v>
      </c>
      <c r="G8" s="10" t="n">
        <v>0.01</v>
      </c>
      <c r="H8" s="18" t="n">
        <f aca="false">F8-G8</f>
        <v>69.18</v>
      </c>
      <c r="I8" s="9"/>
    </row>
    <row r="9" customFormat="false" ht="15.75" hidden="false" customHeight="true" outlineLevel="0" collapsed="false">
      <c r="A9" s="5" t="s">
        <v>51</v>
      </c>
      <c r="B9" s="4" t="s">
        <v>56</v>
      </c>
      <c r="C9" s="4" t="s">
        <v>57</v>
      </c>
      <c r="D9" s="4" t="s">
        <v>58</v>
      </c>
      <c r="E9" s="4" t="s">
        <v>59</v>
      </c>
      <c r="F9" s="6" t="n">
        <v>206.42</v>
      </c>
      <c r="G9" s="6" t="n">
        <v>0.03</v>
      </c>
      <c r="H9" s="19" t="n">
        <f aca="false">F9-G9</f>
        <v>206.39</v>
      </c>
      <c r="I9" s="5"/>
    </row>
    <row r="10" customFormat="false" ht="15.75" hidden="false" customHeight="true" outlineLevel="0" collapsed="false">
      <c r="A10" s="9" t="s">
        <v>51</v>
      </c>
      <c r="B10" s="8" t="s">
        <v>60</v>
      </c>
      <c r="C10" s="8" t="s">
        <v>44</v>
      </c>
      <c r="D10" s="8" t="s">
        <v>61</v>
      </c>
      <c r="E10" s="8" t="s">
        <v>62</v>
      </c>
      <c r="F10" s="10" t="n">
        <v>67.56</v>
      </c>
      <c r="G10" s="10" t="n">
        <v>0.01</v>
      </c>
      <c r="H10" s="18" t="n">
        <f aca="false">F10-G10</f>
        <v>67.55</v>
      </c>
      <c r="I10" s="9"/>
    </row>
    <row r="11" customFormat="false" ht="15.75" hidden="false" customHeight="true" outlineLevel="0" collapsed="false">
      <c r="A11" s="5" t="s">
        <v>51</v>
      </c>
      <c r="B11" s="4" t="s">
        <v>63</v>
      </c>
      <c r="C11" s="4" t="s">
        <v>64</v>
      </c>
      <c r="D11" s="4" t="s">
        <v>65</v>
      </c>
      <c r="E11" s="4" t="s">
        <v>50</v>
      </c>
      <c r="F11" s="6" t="n">
        <v>37.16</v>
      </c>
      <c r="G11" s="6" t="n">
        <v>0.01</v>
      </c>
      <c r="H11" s="19" t="n">
        <f aca="false">F11-G11</f>
        <v>37.15</v>
      </c>
      <c r="I11" s="5"/>
    </row>
    <row r="12" customFormat="false" ht="15.75" hidden="false" customHeight="true" outlineLevel="0" collapsed="false">
      <c r="A12" s="9" t="s">
        <v>51</v>
      </c>
      <c r="B12" s="8" t="s">
        <v>66</v>
      </c>
      <c r="C12" s="8" t="s">
        <v>49</v>
      </c>
      <c r="D12" s="8" t="s">
        <v>67</v>
      </c>
      <c r="E12" s="8" t="s">
        <v>50</v>
      </c>
      <c r="F12" s="10" t="n">
        <v>450.48</v>
      </c>
      <c r="G12" s="10" t="n">
        <v>0.01</v>
      </c>
      <c r="H12" s="18" t="n">
        <f aca="false">F12-G12</f>
        <v>450.47</v>
      </c>
      <c r="I12" s="9"/>
    </row>
    <row r="13" customFormat="false" ht="15.75" hidden="false" customHeight="true" outlineLevel="0" collapsed="false">
      <c r="A13" s="5" t="s">
        <v>51</v>
      </c>
      <c r="B13" s="4" t="s">
        <v>68</v>
      </c>
      <c r="C13" s="4" t="s">
        <v>69</v>
      </c>
      <c r="D13" s="4" t="s">
        <v>70</v>
      </c>
      <c r="E13" s="4" t="s">
        <v>70</v>
      </c>
      <c r="F13" s="6" t="n">
        <v>653.66</v>
      </c>
      <c r="G13" s="6" t="n">
        <v>505</v>
      </c>
      <c r="H13" s="19" t="n">
        <f aca="false">F13-G13</f>
        <v>148.66</v>
      </c>
      <c r="I13" s="5" t="s">
        <v>46</v>
      </c>
    </row>
    <row r="14" customFormat="false" ht="15.75" hidden="false" customHeight="true" outlineLevel="0" collapsed="false">
      <c r="A14" s="9" t="s">
        <v>51</v>
      </c>
      <c r="B14" s="8" t="s">
        <v>71</v>
      </c>
      <c r="C14" s="8" t="s">
        <v>72</v>
      </c>
      <c r="D14" s="8" t="s">
        <v>70</v>
      </c>
      <c r="E14" s="8" t="s">
        <v>70</v>
      </c>
      <c r="F14" s="10" t="n">
        <v>15496.33</v>
      </c>
      <c r="G14" s="10" t="n">
        <v>7532.25</v>
      </c>
      <c r="H14" s="18" t="n">
        <f aca="false">F14-G14</f>
        <v>7964.08</v>
      </c>
      <c r="I14" s="9" t="s">
        <v>46</v>
      </c>
    </row>
    <row r="15" customFormat="false" ht="15.75" hidden="false" customHeight="true" outlineLevel="0" collapsed="false">
      <c r="A15" s="5" t="s">
        <v>51</v>
      </c>
      <c r="B15" s="4" t="s">
        <v>73</v>
      </c>
      <c r="C15" s="4" t="s">
        <v>74</v>
      </c>
      <c r="D15" s="4" t="s">
        <v>75</v>
      </c>
      <c r="E15" s="4" t="s">
        <v>74</v>
      </c>
      <c r="F15" s="6" t="n">
        <v>311.86</v>
      </c>
      <c r="G15" s="6" t="n">
        <v>0.01</v>
      </c>
      <c r="H15" s="19" t="n">
        <f aca="false">F15-G15</f>
        <v>311.85</v>
      </c>
      <c r="I15" s="5"/>
    </row>
    <row r="16" customFormat="false" ht="15.75" hidden="false" customHeight="true" outlineLevel="0" collapsed="false">
      <c r="A16" s="9" t="s">
        <v>51</v>
      </c>
      <c r="B16" s="8" t="s">
        <v>76</v>
      </c>
      <c r="C16" s="8" t="s">
        <v>77</v>
      </c>
      <c r="D16" s="8" t="s">
        <v>78</v>
      </c>
      <c r="E16" s="8" t="s">
        <v>77</v>
      </c>
      <c r="F16" s="10" t="n">
        <v>550.12</v>
      </c>
      <c r="G16" s="10" t="n">
        <v>0.1</v>
      </c>
      <c r="H16" s="18" t="n">
        <f aca="false">F16-G16</f>
        <v>550.02</v>
      </c>
      <c r="I16" s="9"/>
    </row>
    <row r="17" customFormat="false" ht="15.75" hidden="false" customHeight="true" outlineLevel="0" collapsed="false">
      <c r="A17" s="5" t="s">
        <v>51</v>
      </c>
      <c r="B17" s="4" t="s">
        <v>79</v>
      </c>
      <c r="C17" s="4" t="s">
        <v>80</v>
      </c>
      <c r="D17" s="4" t="s">
        <v>62</v>
      </c>
      <c r="E17" s="4" t="s">
        <v>80</v>
      </c>
      <c r="F17" s="6" t="n">
        <v>218.33</v>
      </c>
      <c r="G17" s="6" t="n">
        <v>0.01</v>
      </c>
      <c r="H17" s="19" t="n">
        <f aca="false">F17-G17</f>
        <v>218.32</v>
      </c>
      <c r="I17" s="5"/>
    </row>
    <row r="18" customFormat="false" ht="15.75" hidden="false" customHeight="true" outlineLevel="0" collapsed="false">
      <c r="A18" s="9" t="s">
        <v>51</v>
      </c>
      <c r="B18" s="8" t="s">
        <v>81</v>
      </c>
      <c r="C18" s="8" t="s">
        <v>61</v>
      </c>
      <c r="D18" s="8" t="s">
        <v>82</v>
      </c>
      <c r="E18" s="8" t="s">
        <v>61</v>
      </c>
      <c r="F18" s="10" t="n">
        <v>1414.15</v>
      </c>
      <c r="G18" s="10" t="n">
        <v>0.01</v>
      </c>
      <c r="H18" s="18" t="n">
        <f aca="false">F18-G18</f>
        <v>1414.14</v>
      </c>
      <c r="I18" s="9"/>
    </row>
    <row r="19" customFormat="false" ht="15.75" hidden="false" customHeight="true" outlineLevel="0" collapsed="false">
      <c r="A19" s="5" t="s">
        <v>51</v>
      </c>
      <c r="B19" s="4" t="s">
        <v>83</v>
      </c>
      <c r="C19" s="4" t="s">
        <v>54</v>
      </c>
      <c r="D19" s="4" t="s">
        <v>84</v>
      </c>
      <c r="E19" s="4" t="s">
        <v>54</v>
      </c>
      <c r="F19" s="6" t="n">
        <v>144.83</v>
      </c>
      <c r="G19" s="6" t="n">
        <v>0.01</v>
      </c>
      <c r="H19" s="19" t="n">
        <f aca="false">F19-G19</f>
        <v>144.82</v>
      </c>
      <c r="I19" s="5"/>
    </row>
    <row r="20" customFormat="false" ht="15.75" hidden="false" customHeight="true" outlineLevel="0" collapsed="false">
      <c r="A20" s="9" t="s">
        <v>51</v>
      </c>
      <c r="B20" s="8" t="s">
        <v>85</v>
      </c>
      <c r="C20" s="8" t="s">
        <v>50</v>
      </c>
      <c r="D20" s="8" t="s">
        <v>86</v>
      </c>
      <c r="E20" s="8" t="s">
        <v>50</v>
      </c>
      <c r="F20" s="10" t="n">
        <v>292.61</v>
      </c>
      <c r="G20" s="10" t="n">
        <v>0.01</v>
      </c>
      <c r="H20" s="18" t="n">
        <f aca="false">F20-G20</f>
        <v>292.6</v>
      </c>
      <c r="I20" s="9"/>
    </row>
    <row r="21" customFormat="false" ht="15.75" hidden="false" customHeight="true" outlineLevel="0" collapsed="false">
      <c r="A21" s="5" t="s">
        <v>51</v>
      </c>
      <c r="B21" s="4" t="s">
        <v>87</v>
      </c>
      <c r="C21" s="4" t="s">
        <v>88</v>
      </c>
      <c r="D21" s="4" t="s">
        <v>89</v>
      </c>
      <c r="E21" s="4" t="s">
        <v>88</v>
      </c>
      <c r="F21" s="6" t="n">
        <v>29962.23</v>
      </c>
      <c r="G21" s="6" t="n">
        <v>0.01</v>
      </c>
      <c r="H21" s="19" t="n">
        <f aca="false">F21-G21</f>
        <v>29962.22</v>
      </c>
      <c r="I21" s="5"/>
    </row>
    <row r="22" customFormat="false" ht="15.75" hidden="false" customHeight="true" outlineLevel="0" collapsed="false">
      <c r="A22" s="9" t="s">
        <v>51</v>
      </c>
      <c r="B22" s="8" t="s">
        <v>90</v>
      </c>
      <c r="C22" s="8" t="s">
        <v>89</v>
      </c>
      <c r="D22" s="8" t="s">
        <v>91</v>
      </c>
      <c r="E22" s="8" t="s">
        <v>89</v>
      </c>
      <c r="F22" s="10" t="n">
        <v>2984.58</v>
      </c>
      <c r="G22" s="10" t="n">
        <v>0.01</v>
      </c>
      <c r="H22" s="18" t="n">
        <f aca="false">F22-G22</f>
        <v>2984.57</v>
      </c>
      <c r="I22" s="9"/>
    </row>
    <row r="23" customFormat="false" ht="15.75" hidden="false" customHeight="true" outlineLevel="0" collapsed="false">
      <c r="A23" s="5" t="s">
        <v>51</v>
      </c>
      <c r="B23" s="4" t="s">
        <v>92</v>
      </c>
      <c r="C23" s="4" t="s">
        <v>93</v>
      </c>
      <c r="D23" s="4" t="s">
        <v>94</v>
      </c>
      <c r="E23" s="4" t="s">
        <v>93</v>
      </c>
      <c r="F23" s="6" t="n">
        <v>3927.44</v>
      </c>
      <c r="G23" s="6" t="n">
        <v>0.01</v>
      </c>
      <c r="H23" s="19" t="n">
        <f aca="false">F23-G23</f>
        <v>3927.43</v>
      </c>
      <c r="I23" s="5"/>
    </row>
    <row r="24" customFormat="false" ht="15.75" hidden="false" customHeight="true" outlineLevel="0" collapsed="false">
      <c r="A24" s="9" t="s">
        <v>51</v>
      </c>
      <c r="B24" s="8" t="s">
        <v>95</v>
      </c>
      <c r="C24" s="8" t="s">
        <v>96</v>
      </c>
      <c r="D24" s="8" t="s">
        <v>97</v>
      </c>
      <c r="E24" s="8" t="s">
        <v>96</v>
      </c>
      <c r="F24" s="10" t="n">
        <v>38572.4</v>
      </c>
      <c r="G24" s="10" t="n">
        <v>640</v>
      </c>
      <c r="H24" s="18" t="n">
        <f aca="false">F24-G24</f>
        <v>37932.4</v>
      </c>
      <c r="I24" s="9" t="s">
        <v>46</v>
      </c>
    </row>
    <row r="25" customFormat="false" ht="15.75" hidden="false" customHeight="true" outlineLevel="0" collapsed="false">
      <c r="A25" s="5" t="s">
        <v>51</v>
      </c>
      <c r="B25" s="4" t="s">
        <v>98</v>
      </c>
      <c r="C25" s="4" t="s">
        <v>99</v>
      </c>
      <c r="D25" s="4" t="s">
        <v>100</v>
      </c>
      <c r="E25" s="4" t="s">
        <v>99</v>
      </c>
      <c r="F25" s="6" t="n">
        <v>287.33</v>
      </c>
      <c r="G25" s="6" t="n">
        <v>0.02</v>
      </c>
      <c r="H25" s="19" t="n">
        <f aca="false">F25-G25</f>
        <v>287.31</v>
      </c>
      <c r="I25" s="5"/>
    </row>
    <row r="26" customFormat="false" ht="15.75" hidden="false" customHeight="true" outlineLevel="0" collapsed="false">
      <c r="A26" s="9" t="s">
        <v>51</v>
      </c>
      <c r="B26" s="8" t="s">
        <v>101</v>
      </c>
      <c r="C26" s="8" t="s">
        <v>62</v>
      </c>
      <c r="D26" s="8" t="s">
        <v>61</v>
      </c>
      <c r="E26" s="8" t="s">
        <v>62</v>
      </c>
      <c r="F26" s="10" t="n">
        <v>173.42</v>
      </c>
      <c r="G26" s="10" t="n">
        <v>0.02</v>
      </c>
      <c r="H26" s="18" t="n">
        <f aca="false">F26-G26</f>
        <v>173.4</v>
      </c>
      <c r="I26" s="9"/>
    </row>
    <row r="27" customFormat="false" ht="15.75" hidden="false" customHeight="true" outlineLevel="0" collapsed="false">
      <c r="A27" s="5" t="s">
        <v>51</v>
      </c>
      <c r="B27" s="4" t="s">
        <v>102</v>
      </c>
      <c r="C27" s="4" t="s">
        <v>103</v>
      </c>
      <c r="D27" s="4" t="s">
        <v>104</v>
      </c>
      <c r="E27" s="4" t="s">
        <v>103</v>
      </c>
      <c r="F27" s="6" t="n">
        <v>3814.63</v>
      </c>
      <c r="G27" s="6" t="n">
        <v>0.02</v>
      </c>
      <c r="H27" s="19" t="n">
        <f aca="false">F27-G27</f>
        <v>3814.61</v>
      </c>
      <c r="I27" s="5"/>
    </row>
    <row r="28" customFormat="false" ht="15.75" hidden="false" customHeight="true" outlineLevel="0" collapsed="false">
      <c r="A28" s="9" t="s">
        <v>51</v>
      </c>
      <c r="B28" s="8" t="s">
        <v>105</v>
      </c>
      <c r="C28" s="8" t="s">
        <v>106</v>
      </c>
      <c r="D28" s="8" t="s">
        <v>107</v>
      </c>
      <c r="E28" s="8" t="s">
        <v>106</v>
      </c>
      <c r="F28" s="10" t="n">
        <v>2116.88</v>
      </c>
      <c r="G28" s="10" t="n">
        <v>0.02</v>
      </c>
      <c r="H28" s="18" t="n">
        <f aca="false">F28-G28</f>
        <v>2116.86</v>
      </c>
      <c r="I28" s="9"/>
    </row>
    <row r="29" customFormat="false" ht="15.75" hidden="false" customHeight="true" outlineLevel="0" collapsed="false">
      <c r="A29" s="5" t="s">
        <v>51</v>
      </c>
      <c r="B29" s="4" t="s">
        <v>108</v>
      </c>
      <c r="C29" s="4" t="s">
        <v>109</v>
      </c>
      <c r="D29" s="4" t="s">
        <v>110</v>
      </c>
      <c r="E29" s="4" t="s">
        <v>109</v>
      </c>
      <c r="F29" s="6" t="n">
        <v>770.24</v>
      </c>
      <c r="G29" s="6" t="n">
        <v>0.01</v>
      </c>
      <c r="H29" s="19" t="n">
        <f aca="false">F29-G29</f>
        <v>770.23</v>
      </c>
      <c r="I29" s="5"/>
    </row>
    <row r="30" customFormat="false" ht="15.75" hidden="false" customHeight="true" outlineLevel="0" collapsed="false">
      <c r="A30" s="9" t="s">
        <v>51</v>
      </c>
      <c r="B30" s="8" t="s">
        <v>111</v>
      </c>
      <c r="C30" s="8" t="s">
        <v>55</v>
      </c>
      <c r="D30" s="8" t="s">
        <v>54</v>
      </c>
      <c r="E30" s="8" t="s">
        <v>55</v>
      </c>
      <c r="F30" s="10" t="n">
        <v>218.33</v>
      </c>
      <c r="G30" s="10" t="n">
        <v>0.01</v>
      </c>
      <c r="H30" s="18" t="n">
        <f aca="false">F30-G30</f>
        <v>218.32</v>
      </c>
      <c r="I30" s="9"/>
    </row>
    <row r="31" customFormat="false" ht="15.75" hidden="false" customHeight="true" outlineLevel="0" collapsed="false">
      <c r="A31" s="5" t="s">
        <v>51</v>
      </c>
      <c r="B31" s="4" t="s">
        <v>112</v>
      </c>
      <c r="C31" s="4" t="s">
        <v>113</v>
      </c>
      <c r="D31" s="4" t="s">
        <v>114</v>
      </c>
      <c r="E31" s="4" t="s">
        <v>113</v>
      </c>
      <c r="F31" s="6" t="n">
        <v>1414.15</v>
      </c>
      <c r="G31" s="6" t="n">
        <v>0.01</v>
      </c>
      <c r="H31" s="19" t="n">
        <f aca="false">F31-G31</f>
        <v>1414.14</v>
      </c>
      <c r="I31" s="5"/>
    </row>
    <row r="32" customFormat="false" ht="15.75" hidden="false" customHeight="true" outlineLevel="0" collapsed="false">
      <c r="A32" s="9" t="s">
        <v>51</v>
      </c>
      <c r="B32" s="8" t="s">
        <v>115</v>
      </c>
      <c r="C32" s="8" t="s">
        <v>116</v>
      </c>
      <c r="D32" s="8" t="s">
        <v>117</v>
      </c>
      <c r="E32" s="8" t="s">
        <v>116</v>
      </c>
      <c r="F32" s="10" t="n">
        <v>144.83</v>
      </c>
      <c r="G32" s="10" t="n">
        <v>0.01</v>
      </c>
      <c r="H32" s="18" t="n">
        <f aca="false">F32-G32</f>
        <v>144.82</v>
      </c>
      <c r="I32" s="9"/>
    </row>
    <row r="33" customFormat="false" ht="15.75" hidden="false" customHeight="true" outlineLevel="0" collapsed="false">
      <c r="A33" s="5" t="s">
        <v>51</v>
      </c>
      <c r="B33" s="4" t="s">
        <v>118</v>
      </c>
      <c r="C33" s="4" t="s">
        <v>88</v>
      </c>
      <c r="D33" s="4" t="s">
        <v>119</v>
      </c>
      <c r="E33" s="4" t="s">
        <v>88</v>
      </c>
      <c r="F33" s="6" t="n">
        <v>292.61</v>
      </c>
      <c r="G33" s="6" t="n">
        <v>0.01</v>
      </c>
      <c r="H33" s="19" t="n">
        <f aca="false">F33-G33</f>
        <v>292.6</v>
      </c>
      <c r="I33" s="5"/>
    </row>
    <row r="34" customFormat="false" ht="15.75" hidden="false" customHeight="true" outlineLevel="0" collapsed="false">
      <c r="A34" s="9" t="s">
        <v>51</v>
      </c>
      <c r="B34" s="8" t="s">
        <v>120</v>
      </c>
      <c r="C34" s="8" t="s">
        <v>121</v>
      </c>
      <c r="D34" s="8" t="s">
        <v>122</v>
      </c>
      <c r="E34" s="8" t="s">
        <v>121</v>
      </c>
      <c r="F34" s="10" t="n">
        <v>29962.23</v>
      </c>
      <c r="G34" s="10" t="n">
        <v>0.01</v>
      </c>
      <c r="H34" s="18" t="n">
        <f aca="false">F34-G34</f>
        <v>29962.22</v>
      </c>
      <c r="I34" s="9"/>
    </row>
    <row r="35" customFormat="false" ht="15.75" hidden="false" customHeight="true" outlineLevel="0" collapsed="false">
      <c r="A35" s="5" t="s">
        <v>51</v>
      </c>
      <c r="B35" s="4" t="s">
        <v>123</v>
      </c>
      <c r="C35" s="4" t="s">
        <v>124</v>
      </c>
      <c r="D35" s="4" t="s">
        <v>125</v>
      </c>
      <c r="E35" s="4" t="s">
        <v>124</v>
      </c>
      <c r="F35" s="6" t="n">
        <v>2984.58</v>
      </c>
      <c r="G35" s="6" t="n">
        <v>0.01</v>
      </c>
      <c r="H35" s="19" t="n">
        <f aca="false">F35-G35</f>
        <v>2984.57</v>
      </c>
      <c r="I35" s="5"/>
    </row>
    <row r="36" customFormat="false" ht="15.75" hidden="false" customHeight="true" outlineLevel="0" collapsed="false">
      <c r="A36" s="9" t="s">
        <v>51</v>
      </c>
      <c r="B36" s="8" t="s">
        <v>126</v>
      </c>
      <c r="C36" s="8" t="s">
        <v>127</v>
      </c>
      <c r="D36" s="8" t="s">
        <v>128</v>
      </c>
      <c r="E36" s="8" t="s">
        <v>127</v>
      </c>
      <c r="F36" s="10" t="n">
        <v>3927.44</v>
      </c>
      <c r="G36" s="10" t="n">
        <v>0.01</v>
      </c>
      <c r="H36" s="18" t="n">
        <f aca="false">F36-G36</f>
        <v>3927.43</v>
      </c>
      <c r="I36" s="9"/>
    </row>
    <row r="37" customFormat="false" ht="15.75" hidden="false" customHeight="true" outlineLevel="0" collapsed="false">
      <c r="A37" s="5" t="s">
        <v>51</v>
      </c>
      <c r="B37" s="4" t="s">
        <v>129</v>
      </c>
      <c r="C37" s="4" t="s">
        <v>130</v>
      </c>
      <c r="D37" s="4" t="s">
        <v>131</v>
      </c>
      <c r="E37" s="4" t="s">
        <v>130</v>
      </c>
      <c r="F37" s="6" t="n">
        <v>73980.87</v>
      </c>
      <c r="G37" s="6" t="n">
        <v>1000</v>
      </c>
      <c r="H37" s="19" t="n">
        <f aca="false">F37-G37</f>
        <v>72980.87</v>
      </c>
      <c r="I37" s="5" t="s">
        <v>46</v>
      </c>
    </row>
    <row r="38" customFormat="false" ht="15.75" hidden="false" customHeight="true" outlineLevel="0" collapsed="false">
      <c r="A38" s="9" t="s">
        <v>51</v>
      </c>
      <c r="B38" s="8" t="s">
        <v>132</v>
      </c>
      <c r="C38" s="8" t="s">
        <v>133</v>
      </c>
      <c r="D38" s="8" t="s">
        <v>134</v>
      </c>
      <c r="E38" s="8" t="s">
        <v>133</v>
      </c>
      <c r="F38" s="10" t="n">
        <v>141950.17</v>
      </c>
      <c r="G38" s="10" t="n">
        <v>257.7</v>
      </c>
      <c r="H38" s="18" t="n">
        <f aca="false">F38-G38</f>
        <v>141692.47</v>
      </c>
      <c r="I38" s="9" t="s">
        <v>46</v>
      </c>
    </row>
    <row r="39" customFormat="false" ht="15.75" hidden="false" customHeight="true" outlineLevel="0" collapsed="false">
      <c r="A39" s="5" t="s">
        <v>51</v>
      </c>
      <c r="B39" s="4" t="s">
        <v>135</v>
      </c>
      <c r="C39" s="4" t="s">
        <v>136</v>
      </c>
      <c r="D39" s="4" t="s">
        <v>136</v>
      </c>
      <c r="E39" s="4" t="s">
        <v>136</v>
      </c>
      <c r="F39" s="6" t="n">
        <v>228068.54</v>
      </c>
      <c r="G39" s="6" t="n">
        <v>9649.1</v>
      </c>
      <c r="H39" s="19" t="n">
        <f aca="false">F39-G39</f>
        <v>218419.44</v>
      </c>
      <c r="I39" s="5" t="s">
        <v>46</v>
      </c>
    </row>
    <row r="40" customFormat="false" ht="15.75" hidden="false" customHeight="true" outlineLevel="0" collapsed="false">
      <c r="A40" s="9" t="s">
        <v>137</v>
      </c>
      <c r="B40" s="8" t="s">
        <v>138</v>
      </c>
      <c r="C40" s="8" t="s">
        <v>139</v>
      </c>
      <c r="D40" s="8" t="s">
        <v>140</v>
      </c>
      <c r="E40" s="8" t="s">
        <v>141</v>
      </c>
      <c r="F40" s="10" t="n">
        <v>2335.26</v>
      </c>
      <c r="G40" s="10" t="n">
        <v>350.5</v>
      </c>
      <c r="H40" s="18" t="n">
        <f aca="false">F40-G40</f>
        <v>1984.76</v>
      </c>
      <c r="I40" s="9" t="s">
        <v>46</v>
      </c>
    </row>
    <row r="41" customFormat="false" ht="15.75" hidden="false" customHeight="true" outlineLevel="0" collapsed="false">
      <c r="A41" s="5" t="s">
        <v>142</v>
      </c>
      <c r="B41" s="4" t="s">
        <v>143</v>
      </c>
      <c r="C41" s="4" t="s">
        <v>48</v>
      </c>
      <c r="D41" s="4" t="s">
        <v>144</v>
      </c>
      <c r="E41" s="4" t="s">
        <v>48</v>
      </c>
      <c r="F41" s="6" t="n">
        <v>3923.28</v>
      </c>
      <c r="G41" s="6" t="n">
        <v>0.02</v>
      </c>
      <c r="H41" s="19" t="n">
        <f aca="false">F41-G41</f>
        <v>3923.26</v>
      </c>
      <c r="I41" s="5" t="s">
        <v>145</v>
      </c>
    </row>
    <row r="42" customFormat="false" ht="15.75" hidden="false" customHeight="true" outlineLevel="0" collapsed="false">
      <c r="A42" s="9" t="s">
        <v>142</v>
      </c>
      <c r="B42" s="8" t="s">
        <v>146</v>
      </c>
      <c r="C42" s="8" t="s">
        <v>147</v>
      </c>
      <c r="D42" s="8" t="s">
        <v>148</v>
      </c>
      <c r="E42" s="8" t="s">
        <v>147</v>
      </c>
      <c r="F42" s="10" t="n">
        <v>2138.63</v>
      </c>
      <c r="G42" s="10" t="n">
        <v>0.01</v>
      </c>
      <c r="H42" s="18" t="n">
        <f aca="false">F42-G42</f>
        <v>2138.62</v>
      </c>
      <c r="I42" s="9" t="s">
        <v>145</v>
      </c>
    </row>
    <row r="43" customFormat="false" ht="15.75" hidden="false" customHeight="true" outlineLevel="0" collapsed="false">
      <c r="A43" s="5" t="s">
        <v>149</v>
      </c>
      <c r="B43" s="4" t="s">
        <v>150</v>
      </c>
      <c r="C43" s="4" t="s">
        <v>151</v>
      </c>
      <c r="D43" s="4" t="s">
        <v>64</v>
      </c>
      <c r="E43" s="4" t="s">
        <v>64</v>
      </c>
      <c r="F43" s="6" t="n">
        <v>12774.43</v>
      </c>
      <c r="G43" s="6" t="n">
        <v>194.46</v>
      </c>
      <c r="H43" s="19" t="n">
        <f aca="false">F43-G43</f>
        <v>12579.97</v>
      </c>
      <c r="I43" s="5" t="s">
        <v>152</v>
      </c>
    </row>
    <row r="44" customFormat="false" ht="15.75" hidden="false" customHeight="true" outlineLevel="0" collapsed="false">
      <c r="A44" s="9" t="s">
        <v>149</v>
      </c>
      <c r="B44" s="8" t="s">
        <v>153</v>
      </c>
      <c r="C44" s="8" t="s">
        <v>151</v>
      </c>
      <c r="D44" s="8" t="s">
        <v>154</v>
      </c>
      <c r="E44" s="8" t="s">
        <v>155</v>
      </c>
      <c r="F44" s="10" t="n">
        <v>12774.42</v>
      </c>
      <c r="G44" s="10" t="n">
        <v>194.46</v>
      </c>
      <c r="H44" s="18" t="n">
        <f aca="false">F44-G44</f>
        <v>12579.96</v>
      </c>
      <c r="I44" s="9" t="s">
        <v>156</v>
      </c>
    </row>
    <row r="45" customFormat="false" ht="15.75" hidden="false" customHeight="true" outlineLevel="0" collapsed="false">
      <c r="A45" s="5" t="s">
        <v>149</v>
      </c>
      <c r="B45" s="4" t="s">
        <v>157</v>
      </c>
      <c r="C45" s="4" t="s">
        <v>151</v>
      </c>
      <c r="D45" s="4" t="s">
        <v>158</v>
      </c>
      <c r="E45" s="4" t="s">
        <v>155</v>
      </c>
      <c r="F45" s="6" t="n">
        <v>12774.42</v>
      </c>
      <c r="G45" s="6" t="n">
        <v>194.46</v>
      </c>
      <c r="H45" s="19" t="n">
        <f aca="false">F45-G45</f>
        <v>12579.96</v>
      </c>
      <c r="I45" s="5" t="s">
        <v>159</v>
      </c>
    </row>
    <row r="46" customFormat="false" ht="19.5" hidden="false" customHeight="true" outlineLevel="0" collapsed="false">
      <c r="A46" s="20" t="s">
        <v>24</v>
      </c>
      <c r="B46" s="15"/>
      <c r="C46" s="15"/>
      <c r="D46" s="15"/>
      <c r="E46" s="15"/>
      <c r="F46" s="21" t="n">
        <f aca="false">SUM(F4:F45)</f>
        <v>665091.6</v>
      </c>
      <c r="G46" s="21" t="n">
        <f aca="false">SUM(G4:G45)</f>
        <v>53091.3</v>
      </c>
      <c r="H46" s="21" t="n">
        <f aca="false">SUM(H4:H45)</f>
        <v>612000.3</v>
      </c>
      <c r="I46" s="15"/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2026-06-29T20:12:37Z</dcterms:created>
  <dc:creator>openpyxl</dc:creator>
  <dc:description/>
  <dc:language>en-US</dc:language>
  <cp:lastModifiedBy/>
  <dcterms:modified xsi:type="dcterms:W3CDTF">2026-06-29T20:12:37Z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